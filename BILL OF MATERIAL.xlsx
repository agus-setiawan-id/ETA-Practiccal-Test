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\Kerja\PT ETA\"/>
    </mc:Choice>
  </mc:AlternateContent>
  <xr:revisionPtr revIDLastSave="0" documentId="8_{37325AE8-727D-4894-8F43-7668C9A6E717}" xr6:coauthVersionLast="47" xr6:coauthVersionMax="47" xr10:uidLastSave="{00000000-0000-0000-0000-000000000000}"/>
  <bookViews>
    <workbookView xWindow="0" yWindow="45" windowWidth="28140" windowHeight="14400" xr2:uid="{FA744DEF-DE2C-4672-8DFB-AA48F818A1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52" i="1" s="1"/>
  <c r="J52" i="1" s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2" i="1"/>
</calcChain>
</file>

<file path=xl/sharedStrings.xml><?xml version="1.0" encoding="utf-8"?>
<sst xmlns="http://schemas.openxmlformats.org/spreadsheetml/2006/main" count="363" uniqueCount="205">
  <si>
    <t>Qty</t>
  </si>
  <si>
    <t>Value</t>
  </si>
  <si>
    <t>Footprint</t>
  </si>
  <si>
    <t>Datasheet</t>
  </si>
  <si>
    <t>220uF 50V</t>
  </si>
  <si>
    <t>UVR1H221MPD</t>
  </si>
  <si>
    <t>330uF 16V</t>
  </si>
  <si>
    <t>UVR1C331MPD</t>
  </si>
  <si>
    <t>CL31B106KBHNNNE</t>
  </si>
  <si>
    <t>10uF 16V</t>
  </si>
  <si>
    <t>470uF 16V</t>
  </si>
  <si>
    <t>1N4148W</t>
  </si>
  <si>
    <t>https://www.vishay.com/docs/85748/1n4148w.pdf</t>
  </si>
  <si>
    <t>SS510-HF</t>
  </si>
  <si>
    <t>Block 30A</t>
  </si>
  <si>
    <t>Phoenix MKDS 2-9:CONN_1902547_PXC</t>
  </si>
  <si>
    <t>JST XH B2B</t>
  </si>
  <si>
    <t>Header 4 Pin</t>
  </si>
  <si>
    <t>3.3uH 3.5A</t>
  </si>
  <si>
    <t>1uH 2.3A</t>
  </si>
  <si>
    <t>CIGT252010EH1R0MNE</t>
  </si>
  <si>
    <t>10uH 30A</t>
  </si>
  <si>
    <t>B82559A5103A033</t>
  </si>
  <si>
    <t>10k 1%</t>
  </si>
  <si>
    <t>37.4K 1%</t>
  </si>
  <si>
    <t>100k 5%</t>
  </si>
  <si>
    <t>47k 1%</t>
  </si>
  <si>
    <t>40.2k 1%</t>
  </si>
  <si>
    <t>13k 1%</t>
  </si>
  <si>
    <t>2.2 1%</t>
  </si>
  <si>
    <t>10k 5%</t>
  </si>
  <si>
    <t>1.5m 1% 5W</t>
  </si>
  <si>
    <t>PA2512FKE7T1U5E</t>
  </si>
  <si>
    <t>169k 1%</t>
  </si>
  <si>
    <t>12k 1%</t>
  </si>
  <si>
    <t>0 1%</t>
  </si>
  <si>
    <t>1k 5%</t>
  </si>
  <si>
    <t>100 5%</t>
  </si>
  <si>
    <t>20k %</t>
  </si>
  <si>
    <t>3.3k 1%</t>
  </si>
  <si>
    <t>MP2908AGF-P</t>
  </si>
  <si>
    <t>https://www.monolithicpower.com/en/documentview/productdocument/index/version/2/document_type/Datasheet/lang/en/sku/MP2908A</t>
  </si>
  <si>
    <t>MP1476GTF-P</t>
  </si>
  <si>
    <t>MP1476:IC6_MP1476GTF-P_MNP</t>
  </si>
  <si>
    <t>https://www.monolithicpower.com/en/documentview/productdocument/index/version/2/document_type/Datasheet/lang/en/sku/MP1476</t>
  </si>
  <si>
    <t>STM32F401CCUx</t>
  </si>
  <si>
    <t>https://www.st.com/resource/en/datasheet/stm32f401cc.pdf</t>
  </si>
  <si>
    <t>PC817</t>
  </si>
  <si>
    <t>http://www.soselectronic.cz/a_info/resource/d/pc817.pdf</t>
  </si>
  <si>
    <t>UCC27511DBVR</t>
  </si>
  <si>
    <t>https://www.ti.com/lit/gpn/ucc27511</t>
  </si>
  <si>
    <t>16MHz</t>
  </si>
  <si>
    <t>Reference,</t>
  </si>
  <si>
    <t>,</t>
  </si>
  <si>
    <t>C1,C2,</t>
  </si>
  <si>
    <t>C3,C11,C25,</t>
  </si>
  <si>
    <t>C4,C14,C33,</t>
  </si>
  <si>
    <t>C5,C9,</t>
  </si>
  <si>
    <t>C6,C22,C23,C24,C30,C31,C32,C35,</t>
  </si>
  <si>
    <t>C7,C34,</t>
  </si>
  <si>
    <t>C8,C16,</t>
  </si>
  <si>
    <t>C10,</t>
  </si>
  <si>
    <t>C12,</t>
  </si>
  <si>
    <t>C13,</t>
  </si>
  <si>
    <t>C15,C18,C21,C26,</t>
  </si>
  <si>
    <t>C17,</t>
  </si>
  <si>
    <t>C19,</t>
  </si>
  <si>
    <t>C20,</t>
  </si>
  <si>
    <t>C27,C28,</t>
  </si>
  <si>
    <t>C29,</t>
  </si>
  <si>
    <t>D1,</t>
  </si>
  <si>
    <t>D2,</t>
  </si>
  <si>
    <t>J1,J8,</t>
  </si>
  <si>
    <t>J2,</t>
  </si>
  <si>
    <t>J3,J5,J6,J7,</t>
  </si>
  <si>
    <t>J4,</t>
  </si>
  <si>
    <t>L1,</t>
  </si>
  <si>
    <t>L2,</t>
  </si>
  <si>
    <t>L3,</t>
  </si>
  <si>
    <t>Q1,Q2,Q3,</t>
  </si>
  <si>
    <t>R1,</t>
  </si>
  <si>
    <t>R4,R11,R14,R15,R42,</t>
  </si>
  <si>
    <t>R7,</t>
  </si>
  <si>
    <t>R8,</t>
  </si>
  <si>
    <t>R9,</t>
  </si>
  <si>
    <t>R10,R12,R13,R41,</t>
  </si>
  <si>
    <t>R17,R24,R31,R35,R36,</t>
  </si>
  <si>
    <t>R18,</t>
  </si>
  <si>
    <t>R20,</t>
  </si>
  <si>
    <t>R21,</t>
  </si>
  <si>
    <t>R22,</t>
  </si>
  <si>
    <t>R23,</t>
  </si>
  <si>
    <t>R25,R26,R34,R37,R38,R39,</t>
  </si>
  <si>
    <t>R28,R29,</t>
  </si>
  <si>
    <t>R30,</t>
  </si>
  <si>
    <t>R32,R33,</t>
  </si>
  <si>
    <t>U1,</t>
  </si>
  <si>
    <t>U2,</t>
  </si>
  <si>
    <t>U3,</t>
  </si>
  <si>
    <t>U4,U5,</t>
  </si>
  <si>
    <t>U6,</t>
  </si>
  <si>
    <t>Y1,</t>
  </si>
  <si>
    <t>Name</t>
  </si>
  <si>
    <t>Capacitor</t>
  </si>
  <si>
    <t>Diode</t>
  </si>
  <si>
    <t>Inductor</t>
  </si>
  <si>
    <t>Resistor</t>
  </si>
  <si>
    <t>Terminal Connector</t>
  </si>
  <si>
    <t>Header Connector</t>
  </si>
  <si>
    <t>Header Pin</t>
  </si>
  <si>
    <t>Mosfet Power</t>
  </si>
  <si>
    <t>IC Power Controller</t>
  </si>
  <si>
    <t>Microcontroller</t>
  </si>
  <si>
    <t>Photo Isolator</t>
  </si>
  <si>
    <t>IC Driver</t>
  </si>
  <si>
    <t>Cystal</t>
  </si>
  <si>
    <t>Price</t>
  </si>
  <si>
    <t>SMD 1206</t>
  </si>
  <si>
    <t>SMD 0805</t>
  </si>
  <si>
    <t>SMD 0603</t>
  </si>
  <si>
    <t>SMD 2512</t>
  </si>
  <si>
    <t>SMA</t>
  </si>
  <si>
    <t>SOD-123</t>
  </si>
  <si>
    <t>Radial D8.0mm P3.50mm</t>
  </si>
  <si>
    <t>PinHeader 4P P2.54mm Vertical</t>
  </si>
  <si>
    <t>Wurth 3.3uH 4A</t>
  </si>
  <si>
    <t>SMD 1008/2520 Metric</t>
  </si>
  <si>
    <t>JST XH B2B 1x02 P2.50mm Vertical</t>
  </si>
  <si>
    <t>JST XH B4B 1x04 P2.50mm Vertical</t>
  </si>
  <si>
    <t>Radial D5.0mm P2.00mm</t>
  </si>
  <si>
    <t>Radial D10.0mm P5.00mm</t>
  </si>
  <si>
    <t>UVR1C471MPD</t>
  </si>
  <si>
    <t>Manufaturer Number</t>
  </si>
  <si>
    <t>TSSOP-20</t>
  </si>
  <si>
    <t>QFN-48</t>
  </si>
  <si>
    <t>DBV0006A</t>
  </si>
  <si>
    <t>SMD 3225 4Pin</t>
  </si>
  <si>
    <t>DIP-4 W7.62mm</t>
  </si>
  <si>
    <t>TTFN-9-2-V</t>
  </si>
  <si>
    <t>-</t>
  </si>
  <si>
    <t>Brand</t>
  </si>
  <si>
    <t>Samsung</t>
  </si>
  <si>
    <t>CL21B105KBFNNNE</t>
  </si>
  <si>
    <t>Nichicon</t>
  </si>
  <si>
    <t>10uF 50V X7R</t>
  </si>
  <si>
    <t>100nF 50V X7R</t>
  </si>
  <si>
    <t>YAGEO</t>
  </si>
  <si>
    <t>1uF 50V X7R</t>
  </si>
  <si>
    <t>0805B104K500CT</t>
  </si>
  <si>
    <t>Waisin</t>
  </si>
  <si>
    <t>CL21B103KBANNNC</t>
  </si>
  <si>
    <t>10nF 50V X7R</t>
  </si>
  <si>
    <t>CC0805KRX7R9BB221</t>
  </si>
  <si>
    <t>220pF 40V X7R</t>
  </si>
  <si>
    <t>Murata</t>
  </si>
  <si>
    <t>GRM21A5C2E820JW01D</t>
  </si>
  <si>
    <t>CC0805JRNPO9BN100</t>
  </si>
  <si>
    <t>82pF 50V X7R</t>
  </si>
  <si>
    <t>10pF 50V X7R</t>
  </si>
  <si>
    <t>0.1uF 50V X7R</t>
  </si>
  <si>
    <t>150pF 50V X7R</t>
  </si>
  <si>
    <t>CC0805KRX7R9BB104</t>
  </si>
  <si>
    <t>Wurth Elektronik</t>
  </si>
  <si>
    <t>CC0805KRX7R9BB151</t>
  </si>
  <si>
    <t>CL10C180JB8NNNC</t>
  </si>
  <si>
    <t>18pF 50V</t>
  </si>
  <si>
    <t xml:space="preserve">2.2uF </t>
  </si>
  <si>
    <t>CL21A225KBQNNNE</t>
  </si>
  <si>
    <t>1N4148W-7-F</t>
  </si>
  <si>
    <t>DIODES</t>
  </si>
  <si>
    <t>Comchip</t>
  </si>
  <si>
    <t>Phoenix</t>
  </si>
  <si>
    <t>JST</t>
  </si>
  <si>
    <t>B4B-XH-A(LF)(SN)</t>
  </si>
  <si>
    <t>B2B-XH-A-R(LF)(SN)</t>
  </si>
  <si>
    <t>M20-9990445</t>
  </si>
  <si>
    <t>Harwin</t>
  </si>
  <si>
    <t>iqdh88n06lm5cg</t>
  </si>
  <si>
    <t>Infineon</t>
  </si>
  <si>
    <t>1M 5%</t>
  </si>
  <si>
    <t>Monoitic Power</t>
  </si>
  <si>
    <t>ST Elctronic</t>
  </si>
  <si>
    <t>PC817C</t>
  </si>
  <si>
    <t>AOTE</t>
  </si>
  <si>
    <t>TI</t>
  </si>
  <si>
    <t>XL2EL89CLI-111YLC-16M</t>
  </si>
  <si>
    <t>XYC</t>
  </si>
  <si>
    <t>RC0805JR-071ML</t>
  </si>
  <si>
    <t>AC0805FR-0710KL</t>
  </si>
  <si>
    <t>AC0805FR-0737K4L</t>
  </si>
  <si>
    <t>RC0805JR-07100KL</t>
  </si>
  <si>
    <t>RC0805JR-0710KL</t>
  </si>
  <si>
    <t>R3, R5</t>
  </si>
  <si>
    <t>R2,R27, R6,R19,R40, R16,</t>
  </si>
  <si>
    <t>RT0805FRE07169KL</t>
  </si>
  <si>
    <t>RT0805FRE0740K2L</t>
  </si>
  <si>
    <t>RNCF0805BTE13K1</t>
  </si>
  <si>
    <t>VO</t>
  </si>
  <si>
    <t>RC0805FR-072R2L</t>
  </si>
  <si>
    <t>AC0805FR-0712KL</t>
  </si>
  <si>
    <t>RC0805FR-070RL</t>
  </si>
  <si>
    <t>RC0805JR-071KL</t>
  </si>
  <si>
    <t>RC0805FR-07100KL</t>
  </si>
  <si>
    <t>RC0805JR-0720KL</t>
  </si>
  <si>
    <t>RC0805FR-073K3L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</si>
</sst>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1" xfId="0" applyBorder="1"/>
    <xf numFmtId="0" fontId="2" fillId="2" borderId="1" xfId="0" applyFont="1" applyFill="1" applyBorder="1"/>
    <xf numFmtId="0" fontId="0" fillId="0" borderId="1" xfId="0" applyBorder="1" applyAlignment="1">
      <alignment horizontal="left" wrapText="1"/>
    </xf>
    <xf numFmtId="0" fontId="3" fillId="0" borderId="0" xfId="1" applyFont="1" applyAlignment="1">
      <alignment horizontal="left" vertical="center" wrapText="1"/>
    </xf>
    <xf numFmtId="0" fontId="3" fillId="0" borderId="1" xfId="1" applyFont="1" applyBorder="1" applyAlignment="1">
      <alignment horizontal="left" vertical="center"/>
    </xf>
    <xf numFmtId="0" fontId="3" fillId="0" borderId="1" xfId="1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csc.com/product-detail/C100046.html?s_z=n_1k%25205%2525%25200805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lcsc.com/product-detail/C100047.html?s_z=n_10k%25205%2525%25200805" TargetMode="External"/><Relationship Id="rId1" Type="http://schemas.openxmlformats.org/officeDocument/2006/relationships/hyperlink" Target="https://www.lcsc.com/product-detail/C100045.html?s_z=n_0%2520ohm%25201%2525%25200805" TargetMode="External"/><Relationship Id="rId6" Type="http://schemas.openxmlformats.org/officeDocument/2006/relationships/hyperlink" Target="https://www.lcsc.com/product-detail/C114531.html?s_z=n_3.3k%25201%2525%25200805" TargetMode="External"/><Relationship Id="rId5" Type="http://schemas.openxmlformats.org/officeDocument/2006/relationships/hyperlink" Target="https://www.lcsc.com/product-detail/C114233.html?s_z=n_20k%25205%2525%25200805" TargetMode="External"/><Relationship Id="rId4" Type="http://schemas.openxmlformats.org/officeDocument/2006/relationships/hyperlink" Target="https://www.lcsc.com/product-detail/C96346.html?s_z=n_100%25205%2525%252008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0E8B-E9A0-4164-8B45-6DF941DC3A62}">
  <dimension ref="A1:K52"/>
  <sheetViews>
    <sheetView tabSelected="1" topLeftCell="B1" workbookViewId="0">
      <selection activeCell="E5" sqref="E5"/>
    </sheetView>
  </sheetViews>
  <sheetFormatPr defaultRowHeight="15" x14ac:dyDescent="0.25"/>
  <cols>
    <col min="1" max="1" width="32" hidden="1" customWidth="1"/>
    <col min="2" max="2" width="31.42578125" customWidth="1"/>
    <col min="3" max="3" width="21.42578125" customWidth="1"/>
    <col min="4" max="4" width="126.7109375" hidden="1" customWidth="1"/>
    <col min="5" max="5" width="61.28515625" customWidth="1"/>
    <col min="6" max="6" width="39.7109375" customWidth="1"/>
    <col min="7" max="7" width="14.7109375" customWidth="1"/>
    <col min="8" max="8" width="18.5703125" customWidth="1"/>
    <col min="9" max="9" width="23.140625" customWidth="1"/>
    <col min="11" max="11" width="9.140625" customWidth="1"/>
  </cols>
  <sheetData>
    <row r="1" spans="1:11" x14ac:dyDescent="0.25">
      <c r="A1" s="3" t="s">
        <v>102</v>
      </c>
      <c r="B1" s="3" t="s">
        <v>52</v>
      </c>
      <c r="C1" s="3" t="s">
        <v>1</v>
      </c>
      <c r="D1" s="3" t="s">
        <v>53</v>
      </c>
      <c r="E1" s="3" t="s">
        <v>3</v>
      </c>
      <c r="F1" s="3" t="s">
        <v>2</v>
      </c>
      <c r="G1" s="3" t="s">
        <v>0</v>
      </c>
      <c r="H1" s="3" t="s">
        <v>140</v>
      </c>
      <c r="I1" s="3" t="s">
        <v>132</v>
      </c>
      <c r="J1" s="5" t="s">
        <v>116</v>
      </c>
    </row>
    <row r="2" spans="1:11" x14ac:dyDescent="0.25">
      <c r="A2" s="1" t="s">
        <v>103</v>
      </c>
      <c r="B2" s="1" t="s">
        <v>54</v>
      </c>
      <c r="C2" s="1" t="s">
        <v>4</v>
      </c>
      <c r="D2" s="1" t="s">
        <v>53</v>
      </c>
      <c r="E2" s="1"/>
      <c r="F2" s="1" t="s">
        <v>130</v>
      </c>
      <c r="G2" s="1">
        <v>2</v>
      </c>
      <c r="H2" s="1" t="s">
        <v>143</v>
      </c>
      <c r="I2" s="1" t="s">
        <v>5</v>
      </c>
      <c r="J2" s="4">
        <v>0.2</v>
      </c>
      <c r="K2">
        <f>G2*J2</f>
        <v>0.4</v>
      </c>
    </row>
    <row r="3" spans="1:11" x14ac:dyDescent="0.25">
      <c r="A3" s="1" t="s">
        <v>103</v>
      </c>
      <c r="B3" s="1" t="s">
        <v>55</v>
      </c>
      <c r="C3" s="1" t="s">
        <v>147</v>
      </c>
      <c r="D3" s="1" t="s">
        <v>53</v>
      </c>
      <c r="E3" s="1"/>
      <c r="F3" s="1" t="s">
        <v>118</v>
      </c>
      <c r="G3" s="1">
        <v>3</v>
      </c>
      <c r="H3" s="1" t="s">
        <v>141</v>
      </c>
      <c r="I3" s="1" t="s">
        <v>142</v>
      </c>
      <c r="J3" s="4">
        <v>0.01</v>
      </c>
      <c r="K3">
        <f t="shared" ref="K3:K51" si="0">G3*J3</f>
        <v>0.03</v>
      </c>
    </row>
    <row r="4" spans="1:11" x14ac:dyDescent="0.25">
      <c r="A4" s="1" t="s">
        <v>103</v>
      </c>
      <c r="B4" s="1" t="s">
        <v>56</v>
      </c>
      <c r="C4" s="1" t="s">
        <v>6</v>
      </c>
      <c r="D4" s="1" t="s">
        <v>53</v>
      </c>
      <c r="E4" s="1"/>
      <c r="F4" s="1" t="s">
        <v>123</v>
      </c>
      <c r="G4" s="1">
        <v>3</v>
      </c>
      <c r="H4" s="1" t="s">
        <v>143</v>
      </c>
      <c r="I4" s="1" t="s">
        <v>7</v>
      </c>
      <c r="J4" s="4">
        <v>0.04</v>
      </c>
      <c r="K4">
        <f t="shared" si="0"/>
        <v>0.12</v>
      </c>
    </row>
    <row r="5" spans="1:11" x14ac:dyDescent="0.25">
      <c r="A5" s="1" t="s">
        <v>103</v>
      </c>
      <c r="B5" s="1" t="s">
        <v>57</v>
      </c>
      <c r="C5" s="1" t="s">
        <v>144</v>
      </c>
      <c r="D5" s="1" t="s">
        <v>53</v>
      </c>
      <c r="E5" s="1"/>
      <c r="F5" s="1" t="s">
        <v>117</v>
      </c>
      <c r="G5" s="1">
        <v>2</v>
      </c>
      <c r="H5" s="1" t="s">
        <v>141</v>
      </c>
      <c r="I5" s="1" t="s">
        <v>8</v>
      </c>
      <c r="J5" s="4">
        <v>0.06</v>
      </c>
      <c r="K5">
        <f t="shared" si="0"/>
        <v>0.12</v>
      </c>
    </row>
    <row r="6" spans="1:11" x14ac:dyDescent="0.25">
      <c r="A6" s="1" t="s">
        <v>103</v>
      </c>
      <c r="B6" s="1" t="s">
        <v>58</v>
      </c>
      <c r="C6" s="1" t="s">
        <v>145</v>
      </c>
      <c r="D6" s="1" t="s">
        <v>53</v>
      </c>
      <c r="E6" s="1"/>
      <c r="F6" s="1" t="s">
        <v>118</v>
      </c>
      <c r="G6" s="1">
        <v>8</v>
      </c>
      <c r="H6" s="1" t="s">
        <v>149</v>
      </c>
      <c r="I6" s="1" t="s">
        <v>148</v>
      </c>
      <c r="J6" s="4">
        <v>6.0000000000000001E-3</v>
      </c>
      <c r="K6">
        <f t="shared" si="0"/>
        <v>4.8000000000000001E-2</v>
      </c>
    </row>
    <row r="7" spans="1:11" x14ac:dyDescent="0.25">
      <c r="A7" s="1" t="s">
        <v>103</v>
      </c>
      <c r="B7" s="1" t="s">
        <v>59</v>
      </c>
      <c r="C7" s="1" t="s">
        <v>151</v>
      </c>
      <c r="D7" s="1" t="s">
        <v>53</v>
      </c>
      <c r="E7" s="1"/>
      <c r="F7" s="1" t="s">
        <v>118</v>
      </c>
      <c r="G7" s="1">
        <v>2</v>
      </c>
      <c r="H7" s="1" t="s">
        <v>141</v>
      </c>
      <c r="I7" s="1" t="s">
        <v>150</v>
      </c>
      <c r="J7" s="4">
        <v>7.0000000000000001E-3</v>
      </c>
      <c r="K7">
        <f t="shared" si="0"/>
        <v>1.4E-2</v>
      </c>
    </row>
    <row r="8" spans="1:11" x14ac:dyDescent="0.25">
      <c r="A8" s="1" t="s">
        <v>103</v>
      </c>
      <c r="B8" s="1" t="s">
        <v>60</v>
      </c>
      <c r="C8" s="1" t="s">
        <v>153</v>
      </c>
      <c r="D8" s="1" t="s">
        <v>53</v>
      </c>
      <c r="E8" s="1"/>
      <c r="F8" s="1" t="s">
        <v>118</v>
      </c>
      <c r="G8" s="1">
        <v>2</v>
      </c>
      <c r="H8" s="1" t="s">
        <v>146</v>
      </c>
      <c r="I8" s="1" t="s">
        <v>152</v>
      </c>
      <c r="J8" s="4">
        <v>6.0000000000000001E-3</v>
      </c>
      <c r="K8">
        <f t="shared" si="0"/>
        <v>1.2E-2</v>
      </c>
    </row>
    <row r="9" spans="1:11" x14ac:dyDescent="0.25">
      <c r="A9" s="1" t="s">
        <v>103</v>
      </c>
      <c r="B9" s="1" t="s">
        <v>61</v>
      </c>
      <c r="C9" s="1" t="s">
        <v>157</v>
      </c>
      <c r="D9" s="1" t="s">
        <v>53</v>
      </c>
      <c r="E9" s="1"/>
      <c r="F9" s="1" t="s">
        <v>118</v>
      </c>
      <c r="G9" s="1">
        <v>1</v>
      </c>
      <c r="H9" s="1" t="s">
        <v>154</v>
      </c>
      <c r="I9" s="1" t="s">
        <v>155</v>
      </c>
      <c r="J9" s="4">
        <v>0.04</v>
      </c>
      <c r="K9">
        <f t="shared" si="0"/>
        <v>0.04</v>
      </c>
    </row>
    <row r="10" spans="1:11" x14ac:dyDescent="0.25">
      <c r="A10" s="1" t="s">
        <v>103</v>
      </c>
      <c r="B10" s="1" t="s">
        <v>62</v>
      </c>
      <c r="C10" s="1" t="s">
        <v>158</v>
      </c>
      <c r="D10" s="1" t="s">
        <v>53</v>
      </c>
      <c r="E10" s="1"/>
      <c r="F10" s="1" t="s">
        <v>118</v>
      </c>
      <c r="G10" s="1">
        <v>1</v>
      </c>
      <c r="H10" s="1" t="s">
        <v>146</v>
      </c>
      <c r="I10" s="1" t="s">
        <v>156</v>
      </c>
      <c r="J10" s="4">
        <v>7.0000000000000001E-3</v>
      </c>
      <c r="K10">
        <f t="shared" si="0"/>
        <v>7.0000000000000001E-3</v>
      </c>
    </row>
    <row r="11" spans="1:11" x14ac:dyDescent="0.25">
      <c r="A11" s="1" t="s">
        <v>103</v>
      </c>
      <c r="B11" s="1" t="s">
        <v>63</v>
      </c>
      <c r="C11" s="1" t="s">
        <v>159</v>
      </c>
      <c r="D11" s="1" t="s">
        <v>53</v>
      </c>
      <c r="E11" s="1"/>
      <c r="F11" s="1" t="s">
        <v>118</v>
      </c>
      <c r="G11" s="1">
        <v>1</v>
      </c>
      <c r="H11" s="1" t="s">
        <v>146</v>
      </c>
      <c r="I11" s="1" t="s">
        <v>161</v>
      </c>
      <c r="J11" s="4">
        <v>5.0000000000000001E-3</v>
      </c>
      <c r="K11">
        <f t="shared" si="0"/>
        <v>5.0000000000000001E-3</v>
      </c>
    </row>
    <row r="12" spans="1:11" x14ac:dyDescent="0.25">
      <c r="A12" s="1" t="s">
        <v>103</v>
      </c>
      <c r="B12" s="1" t="s">
        <v>64</v>
      </c>
      <c r="C12" s="1" t="s">
        <v>144</v>
      </c>
      <c r="D12" s="1" t="s">
        <v>53</v>
      </c>
      <c r="E12" s="1"/>
      <c r="F12" s="1" t="s">
        <v>117</v>
      </c>
      <c r="G12" s="1">
        <v>4</v>
      </c>
      <c r="H12" s="1" t="s">
        <v>141</v>
      </c>
      <c r="I12" s="1" t="s">
        <v>8</v>
      </c>
      <c r="J12" s="4">
        <v>7.0000000000000007E-2</v>
      </c>
      <c r="K12">
        <f t="shared" si="0"/>
        <v>0.28000000000000003</v>
      </c>
    </row>
    <row r="13" spans="1:11" x14ac:dyDescent="0.25">
      <c r="A13" s="1" t="s">
        <v>103</v>
      </c>
      <c r="B13" s="1" t="s">
        <v>65</v>
      </c>
      <c r="C13" s="1" t="s">
        <v>9</v>
      </c>
      <c r="D13" s="1" t="s">
        <v>53</v>
      </c>
      <c r="E13" s="1"/>
      <c r="F13" s="1" t="s">
        <v>129</v>
      </c>
      <c r="G13" s="1">
        <v>1</v>
      </c>
      <c r="H13" s="1" t="s">
        <v>162</v>
      </c>
      <c r="I13" s="2">
        <v>860010372001</v>
      </c>
      <c r="J13" s="4">
        <v>0.1</v>
      </c>
      <c r="K13">
        <f t="shared" si="0"/>
        <v>0.1</v>
      </c>
    </row>
    <row r="14" spans="1:11" x14ac:dyDescent="0.25">
      <c r="A14" s="1" t="s">
        <v>103</v>
      </c>
      <c r="B14" s="1" t="s">
        <v>66</v>
      </c>
      <c r="C14" s="1" t="s">
        <v>160</v>
      </c>
      <c r="D14" s="1" t="s">
        <v>53</v>
      </c>
      <c r="E14" s="1"/>
      <c r="F14" s="1" t="s">
        <v>118</v>
      </c>
      <c r="G14" s="1">
        <v>1</v>
      </c>
      <c r="H14" s="1" t="s">
        <v>146</v>
      </c>
      <c r="I14" s="1" t="s">
        <v>163</v>
      </c>
      <c r="J14" s="4">
        <v>5.0000000000000001E-3</v>
      </c>
      <c r="K14">
        <f t="shared" si="0"/>
        <v>5.0000000000000001E-3</v>
      </c>
    </row>
    <row r="15" spans="1:11" x14ac:dyDescent="0.25">
      <c r="A15" s="1" t="s">
        <v>103</v>
      </c>
      <c r="B15" s="1" t="s">
        <v>67</v>
      </c>
      <c r="C15" s="1" t="s">
        <v>10</v>
      </c>
      <c r="D15" s="1" t="s">
        <v>53</v>
      </c>
      <c r="E15" s="1"/>
      <c r="F15" s="1" t="s">
        <v>123</v>
      </c>
      <c r="G15" s="1">
        <v>1</v>
      </c>
      <c r="H15" s="1" t="s">
        <v>143</v>
      </c>
      <c r="I15" s="1" t="s">
        <v>131</v>
      </c>
      <c r="J15" s="4">
        <v>0.1</v>
      </c>
      <c r="K15">
        <f t="shared" si="0"/>
        <v>0.1</v>
      </c>
    </row>
    <row r="16" spans="1:11" x14ac:dyDescent="0.25">
      <c r="A16" s="1" t="s">
        <v>103</v>
      </c>
      <c r="B16" s="1" t="s">
        <v>68</v>
      </c>
      <c r="C16" s="1" t="s">
        <v>165</v>
      </c>
      <c r="D16" s="1" t="s">
        <v>53</v>
      </c>
      <c r="E16" s="1"/>
      <c r="F16" s="1" t="s">
        <v>119</v>
      </c>
      <c r="G16" s="1">
        <v>2</v>
      </c>
      <c r="H16" s="1" t="s">
        <v>141</v>
      </c>
      <c r="I16" s="6" t="s">
        <v>164</v>
      </c>
      <c r="J16" s="4">
        <v>5.0000000000000001E-3</v>
      </c>
      <c r="K16">
        <f t="shared" si="0"/>
        <v>0.01</v>
      </c>
    </row>
    <row r="17" spans="1:11" x14ac:dyDescent="0.25">
      <c r="A17" s="1" t="s">
        <v>103</v>
      </c>
      <c r="B17" s="1" t="s">
        <v>69</v>
      </c>
      <c r="C17" s="1" t="s">
        <v>166</v>
      </c>
      <c r="D17" s="1" t="s">
        <v>53</v>
      </c>
      <c r="E17" s="1"/>
      <c r="F17" s="1" t="s">
        <v>118</v>
      </c>
      <c r="G17" s="1">
        <v>1</v>
      </c>
      <c r="H17" s="1" t="s">
        <v>141</v>
      </c>
      <c r="I17" s="7" t="s">
        <v>167</v>
      </c>
      <c r="J17" s="4">
        <v>0.02</v>
      </c>
      <c r="K17">
        <f t="shared" si="0"/>
        <v>0.02</v>
      </c>
    </row>
    <row r="18" spans="1:11" x14ac:dyDescent="0.25">
      <c r="A18" s="1" t="s">
        <v>104</v>
      </c>
      <c r="B18" s="1" t="s">
        <v>70</v>
      </c>
      <c r="C18" s="1" t="s">
        <v>11</v>
      </c>
      <c r="D18" s="1" t="s">
        <v>53</v>
      </c>
      <c r="E18" s="1" t="s">
        <v>12</v>
      </c>
      <c r="F18" s="1" t="s">
        <v>122</v>
      </c>
      <c r="G18" s="1">
        <v>1</v>
      </c>
      <c r="H18" s="1" t="s">
        <v>169</v>
      </c>
      <c r="I18" s="1" t="s">
        <v>168</v>
      </c>
      <c r="J18" s="4">
        <v>0.02</v>
      </c>
      <c r="K18">
        <f t="shared" si="0"/>
        <v>0.02</v>
      </c>
    </row>
    <row r="19" spans="1:11" x14ac:dyDescent="0.25">
      <c r="A19" s="1" t="s">
        <v>104</v>
      </c>
      <c r="B19" s="1" t="s">
        <v>71</v>
      </c>
      <c r="C19" s="1" t="s">
        <v>13</v>
      </c>
      <c r="D19" s="1" t="s">
        <v>53</v>
      </c>
      <c r="E19" s="1"/>
      <c r="F19" s="1" t="s">
        <v>121</v>
      </c>
      <c r="G19" s="1">
        <v>1</v>
      </c>
      <c r="H19" s="1" t="s">
        <v>170</v>
      </c>
      <c r="I19" s="1" t="s">
        <v>13</v>
      </c>
      <c r="J19" s="4">
        <v>0.2</v>
      </c>
      <c r="K19">
        <f t="shared" si="0"/>
        <v>0.2</v>
      </c>
    </row>
    <row r="20" spans="1:11" x14ac:dyDescent="0.25">
      <c r="A20" s="1" t="s">
        <v>107</v>
      </c>
      <c r="B20" s="1" t="s">
        <v>72</v>
      </c>
      <c r="C20" s="1" t="s">
        <v>14</v>
      </c>
      <c r="D20" s="1" t="s">
        <v>53</v>
      </c>
      <c r="E20" s="1"/>
      <c r="F20" s="1" t="s">
        <v>15</v>
      </c>
      <c r="G20" s="1">
        <v>2</v>
      </c>
      <c r="H20" s="1" t="s">
        <v>171</v>
      </c>
      <c r="I20" s="1">
        <v>1907432</v>
      </c>
      <c r="J20" s="4">
        <v>1.4</v>
      </c>
      <c r="K20">
        <f t="shared" si="0"/>
        <v>2.8</v>
      </c>
    </row>
    <row r="21" spans="1:11" x14ac:dyDescent="0.25">
      <c r="A21" s="1" t="s">
        <v>108</v>
      </c>
      <c r="B21" s="1" t="s">
        <v>73</v>
      </c>
      <c r="C21" s="1" t="s">
        <v>16</v>
      </c>
      <c r="D21" s="1" t="s">
        <v>53</v>
      </c>
      <c r="E21" s="1"/>
      <c r="F21" s="1" t="s">
        <v>128</v>
      </c>
      <c r="G21" s="1">
        <v>1</v>
      </c>
      <c r="H21" s="1" t="s">
        <v>172</v>
      </c>
      <c r="I21" s="1" t="s">
        <v>173</v>
      </c>
      <c r="J21" s="4">
        <v>0.05</v>
      </c>
      <c r="K21">
        <f t="shared" si="0"/>
        <v>0.05</v>
      </c>
    </row>
    <row r="22" spans="1:11" x14ac:dyDescent="0.25">
      <c r="A22" s="1" t="s">
        <v>108</v>
      </c>
      <c r="B22" s="1" t="s">
        <v>74</v>
      </c>
      <c r="C22" s="1" t="s">
        <v>16</v>
      </c>
      <c r="D22" s="1" t="s">
        <v>53</v>
      </c>
      <c r="E22" s="1"/>
      <c r="F22" s="1" t="s">
        <v>127</v>
      </c>
      <c r="G22" s="1">
        <v>4</v>
      </c>
      <c r="H22" s="1" t="s">
        <v>172</v>
      </c>
      <c r="I22" s="1" t="s">
        <v>174</v>
      </c>
      <c r="J22" s="4">
        <v>0.05</v>
      </c>
      <c r="K22">
        <f t="shared" si="0"/>
        <v>0.2</v>
      </c>
    </row>
    <row r="23" spans="1:11" x14ac:dyDescent="0.25">
      <c r="A23" s="1" t="s">
        <v>109</v>
      </c>
      <c r="B23" s="1" t="s">
        <v>75</v>
      </c>
      <c r="C23" s="1" t="s">
        <v>17</v>
      </c>
      <c r="D23" s="1" t="s">
        <v>53</v>
      </c>
      <c r="E23" s="1"/>
      <c r="F23" s="1" t="s">
        <v>124</v>
      </c>
      <c r="G23" s="1">
        <v>1</v>
      </c>
      <c r="H23" s="1" t="s">
        <v>176</v>
      </c>
      <c r="I23" s="1" t="s">
        <v>175</v>
      </c>
      <c r="J23" s="4">
        <v>0.25</v>
      </c>
      <c r="K23">
        <f t="shared" si="0"/>
        <v>0.25</v>
      </c>
    </row>
    <row r="24" spans="1:11" x14ac:dyDescent="0.25">
      <c r="A24" s="1" t="s">
        <v>105</v>
      </c>
      <c r="B24" s="1" t="s">
        <v>76</v>
      </c>
      <c r="C24" s="1" t="s">
        <v>18</v>
      </c>
      <c r="D24" s="1" t="s">
        <v>53</v>
      </c>
      <c r="E24" s="1"/>
      <c r="F24" s="1" t="s">
        <v>125</v>
      </c>
      <c r="G24" s="1">
        <v>1</v>
      </c>
      <c r="H24" s="1" t="s">
        <v>162</v>
      </c>
      <c r="I24" s="1">
        <v>7447462033</v>
      </c>
      <c r="J24" s="4">
        <v>0.95</v>
      </c>
      <c r="K24">
        <f t="shared" si="0"/>
        <v>0.95</v>
      </c>
    </row>
    <row r="25" spans="1:11" x14ac:dyDescent="0.25">
      <c r="A25" s="1" t="s">
        <v>105</v>
      </c>
      <c r="B25" s="1" t="s">
        <v>77</v>
      </c>
      <c r="C25" s="1" t="s">
        <v>19</v>
      </c>
      <c r="D25" s="1" t="s">
        <v>53</v>
      </c>
      <c r="E25" s="1"/>
      <c r="F25" s="1" t="s">
        <v>126</v>
      </c>
      <c r="G25" s="1">
        <v>1</v>
      </c>
      <c r="H25" s="1" t="s">
        <v>141</v>
      </c>
      <c r="I25" s="1" t="s">
        <v>20</v>
      </c>
      <c r="J25" s="4">
        <v>0.21</v>
      </c>
      <c r="K25">
        <f t="shared" si="0"/>
        <v>0.21</v>
      </c>
    </row>
    <row r="26" spans="1:11" x14ac:dyDescent="0.25">
      <c r="A26" s="1" t="s">
        <v>105</v>
      </c>
      <c r="B26" s="1" t="s">
        <v>78</v>
      </c>
      <c r="C26" s="1" t="s">
        <v>21</v>
      </c>
      <c r="D26" s="1" t="s">
        <v>53</v>
      </c>
      <c r="E26" s="1"/>
      <c r="F26" s="1" t="s">
        <v>139</v>
      </c>
      <c r="G26" s="1">
        <v>1</v>
      </c>
      <c r="H26" s="1" t="s">
        <v>162</v>
      </c>
      <c r="I26" s="1" t="s">
        <v>22</v>
      </c>
      <c r="J26" s="4">
        <v>3.71</v>
      </c>
      <c r="K26">
        <f t="shared" si="0"/>
        <v>3.71</v>
      </c>
    </row>
    <row r="27" spans="1:11" x14ac:dyDescent="0.25">
      <c r="A27" s="1" t="s">
        <v>110</v>
      </c>
      <c r="B27" s="1" t="s">
        <v>79</v>
      </c>
      <c r="C27" s="1" t="s">
        <v>177</v>
      </c>
      <c r="D27" s="1" t="s">
        <v>53</v>
      </c>
      <c r="E27" s="1"/>
      <c r="F27" s="1" t="s">
        <v>138</v>
      </c>
      <c r="G27" s="1">
        <v>3</v>
      </c>
      <c r="H27" s="1" t="s">
        <v>178</v>
      </c>
      <c r="I27" s="1" t="s">
        <v>177</v>
      </c>
      <c r="J27" s="4">
        <v>2.2999999999999998</v>
      </c>
      <c r="K27">
        <f t="shared" si="0"/>
        <v>6.8999999999999995</v>
      </c>
    </row>
    <row r="28" spans="1:11" x14ac:dyDescent="0.25">
      <c r="A28" s="1" t="s">
        <v>106</v>
      </c>
      <c r="B28" s="1" t="s">
        <v>80</v>
      </c>
      <c r="C28" s="1" t="s">
        <v>179</v>
      </c>
      <c r="D28" s="1" t="s">
        <v>53</v>
      </c>
      <c r="E28" s="1"/>
      <c r="F28" s="1" t="s">
        <v>118</v>
      </c>
      <c r="G28" s="1">
        <v>1</v>
      </c>
      <c r="H28" s="1" t="s">
        <v>146</v>
      </c>
      <c r="I28" s="1" t="s">
        <v>187</v>
      </c>
      <c r="J28" s="4">
        <v>0.01</v>
      </c>
      <c r="K28">
        <f t="shared" si="0"/>
        <v>0.01</v>
      </c>
    </row>
    <row r="29" spans="1:11" x14ac:dyDescent="0.25">
      <c r="A29" s="1" t="s">
        <v>106</v>
      </c>
      <c r="B29" s="1" t="s">
        <v>193</v>
      </c>
      <c r="C29" s="1" t="s">
        <v>23</v>
      </c>
      <c r="D29" s="1" t="s">
        <v>53</v>
      </c>
      <c r="E29" s="1"/>
      <c r="F29" s="1" t="s">
        <v>118</v>
      </c>
      <c r="G29" s="1">
        <v>6</v>
      </c>
      <c r="H29" s="1" t="s">
        <v>146</v>
      </c>
      <c r="I29" s="1" t="s">
        <v>188</v>
      </c>
      <c r="J29" s="4">
        <v>0.01</v>
      </c>
      <c r="K29">
        <f t="shared" si="0"/>
        <v>0.06</v>
      </c>
    </row>
    <row r="30" spans="1:11" x14ac:dyDescent="0.25">
      <c r="A30" s="1" t="s">
        <v>106</v>
      </c>
      <c r="B30" s="1" t="s">
        <v>192</v>
      </c>
      <c r="C30" s="1" t="s">
        <v>24</v>
      </c>
      <c r="D30" s="1" t="s">
        <v>53</v>
      </c>
      <c r="E30" s="1"/>
      <c r="F30" s="1" t="s">
        <v>118</v>
      </c>
      <c r="G30" s="1">
        <v>2</v>
      </c>
      <c r="H30" s="1" t="s">
        <v>146</v>
      </c>
      <c r="I30" s="1" t="s">
        <v>189</v>
      </c>
      <c r="J30" s="4">
        <v>0.01</v>
      </c>
      <c r="K30">
        <f t="shared" si="0"/>
        <v>0.02</v>
      </c>
    </row>
    <row r="31" spans="1:11" x14ac:dyDescent="0.25">
      <c r="A31" s="1" t="s">
        <v>106</v>
      </c>
      <c r="B31" s="1" t="s">
        <v>81</v>
      </c>
      <c r="C31" s="1" t="s">
        <v>25</v>
      </c>
      <c r="D31" s="1" t="s">
        <v>53</v>
      </c>
      <c r="E31" s="1"/>
      <c r="F31" s="1" t="s">
        <v>118</v>
      </c>
      <c r="G31" s="1">
        <v>5</v>
      </c>
      <c r="H31" s="1" t="s">
        <v>146</v>
      </c>
      <c r="I31" s="1" t="s">
        <v>190</v>
      </c>
      <c r="J31" s="4">
        <v>0.01</v>
      </c>
      <c r="K31">
        <f t="shared" si="0"/>
        <v>0.05</v>
      </c>
    </row>
    <row r="32" spans="1:11" x14ac:dyDescent="0.25">
      <c r="A32" s="1" t="s">
        <v>106</v>
      </c>
      <c r="B32" s="1" t="s">
        <v>82</v>
      </c>
      <c r="C32" s="1" t="s">
        <v>26</v>
      </c>
      <c r="D32" s="1" t="s">
        <v>53</v>
      </c>
      <c r="E32" s="1"/>
      <c r="F32" s="1" t="s">
        <v>118</v>
      </c>
      <c r="G32" s="1">
        <v>1</v>
      </c>
      <c r="H32" s="1" t="s">
        <v>146</v>
      </c>
      <c r="I32" s="1" t="s">
        <v>194</v>
      </c>
      <c r="J32" s="4">
        <v>0.01</v>
      </c>
      <c r="K32">
        <f t="shared" si="0"/>
        <v>0.01</v>
      </c>
    </row>
    <row r="33" spans="1:11" x14ac:dyDescent="0.25">
      <c r="A33" s="1" t="s">
        <v>106</v>
      </c>
      <c r="B33" s="1" t="s">
        <v>83</v>
      </c>
      <c r="C33" s="1" t="s">
        <v>27</v>
      </c>
      <c r="D33" s="1" t="s">
        <v>53</v>
      </c>
      <c r="E33" s="1"/>
      <c r="F33" s="1" t="s">
        <v>118</v>
      </c>
      <c r="G33" s="1">
        <v>1</v>
      </c>
      <c r="H33" s="1" t="s">
        <v>146</v>
      </c>
      <c r="I33" s="1" t="s">
        <v>195</v>
      </c>
      <c r="J33" s="4">
        <v>0.01</v>
      </c>
      <c r="K33">
        <f t="shared" si="0"/>
        <v>0.01</v>
      </c>
    </row>
    <row r="34" spans="1:11" x14ac:dyDescent="0.25">
      <c r="A34" s="1" t="s">
        <v>106</v>
      </c>
      <c r="B34" s="1" t="s">
        <v>84</v>
      </c>
      <c r="C34" s="1" t="s">
        <v>28</v>
      </c>
      <c r="D34" s="1" t="s">
        <v>53</v>
      </c>
      <c r="E34" s="1"/>
      <c r="F34" s="1" t="s">
        <v>118</v>
      </c>
      <c r="G34" s="1">
        <v>1</v>
      </c>
      <c r="H34" s="1" t="s">
        <v>197</v>
      </c>
      <c r="I34" s="1" t="s">
        <v>196</v>
      </c>
      <c r="J34" s="4">
        <v>0.01</v>
      </c>
      <c r="K34">
        <f t="shared" si="0"/>
        <v>0.01</v>
      </c>
    </row>
    <row r="35" spans="1:11" x14ac:dyDescent="0.25">
      <c r="A35" s="1" t="s">
        <v>106</v>
      </c>
      <c r="B35" s="1" t="s">
        <v>85</v>
      </c>
      <c r="C35" s="1" t="s">
        <v>29</v>
      </c>
      <c r="D35" s="1" t="s">
        <v>53</v>
      </c>
      <c r="E35" s="1"/>
      <c r="F35" s="1" t="s">
        <v>118</v>
      </c>
      <c r="G35" s="1">
        <v>4</v>
      </c>
      <c r="H35" s="1" t="s">
        <v>146</v>
      </c>
      <c r="I35" s="6" t="s">
        <v>198</v>
      </c>
      <c r="J35" s="4">
        <v>0.01</v>
      </c>
      <c r="K35">
        <f t="shared" si="0"/>
        <v>0.04</v>
      </c>
    </row>
    <row r="36" spans="1:11" x14ac:dyDescent="0.25">
      <c r="A36" s="1" t="s">
        <v>106</v>
      </c>
      <c r="B36" s="1" t="s">
        <v>86</v>
      </c>
      <c r="C36" s="1" t="s">
        <v>30</v>
      </c>
      <c r="D36" s="1" t="s">
        <v>53</v>
      </c>
      <c r="E36" s="1"/>
      <c r="F36" s="1" t="s">
        <v>118</v>
      </c>
      <c r="G36" s="1">
        <v>5</v>
      </c>
      <c r="H36" s="1" t="s">
        <v>146</v>
      </c>
      <c r="I36" s="1" t="s">
        <v>191</v>
      </c>
      <c r="J36" s="4">
        <v>1E-3</v>
      </c>
      <c r="K36">
        <f t="shared" si="0"/>
        <v>5.0000000000000001E-3</v>
      </c>
    </row>
    <row r="37" spans="1:11" x14ac:dyDescent="0.25">
      <c r="A37" s="1" t="s">
        <v>106</v>
      </c>
      <c r="B37" s="1" t="s">
        <v>87</v>
      </c>
      <c r="C37" s="1" t="s">
        <v>31</v>
      </c>
      <c r="D37" s="1" t="s">
        <v>53</v>
      </c>
      <c r="E37" s="1"/>
      <c r="F37" s="1" t="s">
        <v>120</v>
      </c>
      <c r="G37" s="1">
        <v>1</v>
      </c>
      <c r="H37" s="1" t="s">
        <v>146</v>
      </c>
      <c r="I37" s="1" t="s">
        <v>32</v>
      </c>
      <c r="J37" s="4">
        <v>0.2</v>
      </c>
      <c r="K37">
        <f t="shared" si="0"/>
        <v>0.2</v>
      </c>
    </row>
    <row r="38" spans="1:11" x14ac:dyDescent="0.25">
      <c r="A38" s="1" t="s">
        <v>106</v>
      </c>
      <c r="B38" s="1" t="s">
        <v>88</v>
      </c>
      <c r="C38" s="1" t="s">
        <v>33</v>
      </c>
      <c r="D38" s="1" t="s">
        <v>53</v>
      </c>
      <c r="E38" s="1"/>
      <c r="F38" s="1" t="s">
        <v>118</v>
      </c>
      <c r="G38" s="1">
        <v>1</v>
      </c>
      <c r="H38" s="1" t="s">
        <v>146</v>
      </c>
      <c r="I38" s="1" t="s">
        <v>194</v>
      </c>
      <c r="J38" s="4">
        <v>0.01</v>
      </c>
      <c r="K38">
        <f t="shared" si="0"/>
        <v>0.01</v>
      </c>
    </row>
    <row r="39" spans="1:11" x14ac:dyDescent="0.25">
      <c r="A39" s="1" t="s">
        <v>106</v>
      </c>
      <c r="B39" s="1" t="s">
        <v>89</v>
      </c>
      <c r="C39" s="1" t="s">
        <v>34</v>
      </c>
      <c r="D39" s="1" t="s">
        <v>53</v>
      </c>
      <c r="E39" s="1"/>
      <c r="F39" s="1" t="s">
        <v>118</v>
      </c>
      <c r="G39" s="1">
        <v>1</v>
      </c>
      <c r="H39" s="1" t="s">
        <v>146</v>
      </c>
      <c r="I39" s="8" t="s">
        <v>199</v>
      </c>
      <c r="J39" s="4">
        <v>0.01</v>
      </c>
      <c r="K39">
        <f t="shared" si="0"/>
        <v>0.01</v>
      </c>
    </row>
    <row r="40" spans="1:11" x14ac:dyDescent="0.25">
      <c r="A40" s="1" t="s">
        <v>106</v>
      </c>
      <c r="B40" s="1" t="s">
        <v>90</v>
      </c>
      <c r="C40" s="1" t="s">
        <v>35</v>
      </c>
      <c r="D40" s="1" t="s">
        <v>53</v>
      </c>
      <c r="E40" s="1"/>
      <c r="F40" s="1" t="s">
        <v>118</v>
      </c>
      <c r="G40" s="1">
        <v>1</v>
      </c>
      <c r="H40" s="1" t="s">
        <v>146</v>
      </c>
      <c r="I40" s="9" t="s">
        <v>200</v>
      </c>
      <c r="J40" s="4">
        <v>0.01</v>
      </c>
      <c r="K40">
        <f t="shared" si="0"/>
        <v>0.01</v>
      </c>
    </row>
    <row r="41" spans="1:11" x14ac:dyDescent="0.25">
      <c r="A41" s="1" t="s">
        <v>106</v>
      </c>
      <c r="B41" s="1" t="s">
        <v>91</v>
      </c>
      <c r="C41" s="1" t="s">
        <v>30</v>
      </c>
      <c r="D41" s="1" t="s">
        <v>53</v>
      </c>
      <c r="E41" s="1"/>
      <c r="F41" s="1" t="s">
        <v>117</v>
      </c>
      <c r="G41" s="1">
        <v>1</v>
      </c>
      <c r="H41" s="1" t="s">
        <v>146</v>
      </c>
      <c r="I41" s="8" t="s">
        <v>191</v>
      </c>
      <c r="J41" s="4">
        <v>0.01</v>
      </c>
      <c r="K41">
        <f t="shared" si="0"/>
        <v>0.01</v>
      </c>
    </row>
    <row r="42" spans="1:11" x14ac:dyDescent="0.25">
      <c r="A42" s="1" t="s">
        <v>106</v>
      </c>
      <c r="B42" s="1" t="s">
        <v>92</v>
      </c>
      <c r="C42" s="1" t="s">
        <v>36</v>
      </c>
      <c r="D42" s="1" t="s">
        <v>53</v>
      </c>
      <c r="E42" s="1"/>
      <c r="F42" s="1" t="s">
        <v>118</v>
      </c>
      <c r="G42" s="1">
        <v>6</v>
      </c>
      <c r="H42" s="1" t="s">
        <v>146</v>
      </c>
      <c r="I42" s="8" t="s">
        <v>201</v>
      </c>
      <c r="J42" s="4">
        <v>0.01</v>
      </c>
      <c r="K42">
        <f t="shared" si="0"/>
        <v>0.06</v>
      </c>
    </row>
    <row r="43" spans="1:11" x14ac:dyDescent="0.25">
      <c r="A43" s="1" t="s">
        <v>106</v>
      </c>
      <c r="B43" s="1" t="s">
        <v>93</v>
      </c>
      <c r="C43" s="1" t="s">
        <v>37</v>
      </c>
      <c r="D43" s="1" t="s">
        <v>53</v>
      </c>
      <c r="E43" s="1"/>
      <c r="F43" s="1" t="s">
        <v>118</v>
      </c>
      <c r="G43" s="1">
        <v>2</v>
      </c>
      <c r="H43" s="1" t="s">
        <v>146</v>
      </c>
      <c r="I43" s="8" t="s">
        <v>202</v>
      </c>
      <c r="J43" s="4">
        <v>0.01</v>
      </c>
      <c r="K43">
        <f t="shared" si="0"/>
        <v>0.02</v>
      </c>
    </row>
    <row r="44" spans="1:11" x14ac:dyDescent="0.25">
      <c r="A44" s="1" t="s">
        <v>106</v>
      </c>
      <c r="B44" s="1" t="s">
        <v>94</v>
      </c>
      <c r="C44" s="1" t="s">
        <v>38</v>
      </c>
      <c r="D44" s="1" t="s">
        <v>53</v>
      </c>
      <c r="E44" s="1"/>
      <c r="F44" s="1" t="s">
        <v>118</v>
      </c>
      <c r="G44" s="1">
        <v>1</v>
      </c>
      <c r="H44" s="1" t="s">
        <v>146</v>
      </c>
      <c r="I44" s="9" t="s">
        <v>203</v>
      </c>
      <c r="J44" s="4">
        <v>0.01</v>
      </c>
      <c r="K44">
        <f t="shared" si="0"/>
        <v>0.01</v>
      </c>
    </row>
    <row r="45" spans="1:11" x14ac:dyDescent="0.25">
      <c r="A45" s="1" t="s">
        <v>106</v>
      </c>
      <c r="B45" s="1" t="s">
        <v>95</v>
      </c>
      <c r="C45" s="1" t="s">
        <v>39</v>
      </c>
      <c r="D45" s="1" t="s">
        <v>53</v>
      </c>
      <c r="E45" s="1"/>
      <c r="F45" s="1" t="s">
        <v>118</v>
      </c>
      <c r="G45" s="1">
        <v>2</v>
      </c>
      <c r="H45" s="1" t="s">
        <v>146</v>
      </c>
      <c r="I45" s="9" t="s">
        <v>204</v>
      </c>
      <c r="J45" s="4">
        <v>0.01</v>
      </c>
      <c r="K45">
        <f t="shared" si="0"/>
        <v>0.02</v>
      </c>
    </row>
    <row r="46" spans="1:11" x14ac:dyDescent="0.25">
      <c r="A46" s="1" t="s">
        <v>111</v>
      </c>
      <c r="B46" s="1" t="s">
        <v>96</v>
      </c>
      <c r="C46" s="1" t="s">
        <v>40</v>
      </c>
      <c r="D46" s="1" t="s">
        <v>53</v>
      </c>
      <c r="E46" s="1" t="s">
        <v>41</v>
      </c>
      <c r="F46" s="1" t="s">
        <v>133</v>
      </c>
      <c r="G46" s="1">
        <v>1</v>
      </c>
      <c r="H46" s="1" t="s">
        <v>180</v>
      </c>
      <c r="I46" s="1" t="s">
        <v>40</v>
      </c>
      <c r="J46" s="4">
        <v>1.7</v>
      </c>
      <c r="K46">
        <f t="shared" si="0"/>
        <v>1.7</v>
      </c>
    </row>
    <row r="47" spans="1:11" x14ac:dyDescent="0.25">
      <c r="A47" s="1" t="s">
        <v>111</v>
      </c>
      <c r="B47" s="1" t="s">
        <v>97</v>
      </c>
      <c r="C47" s="1" t="s">
        <v>42</v>
      </c>
      <c r="D47" s="1" t="s">
        <v>53</v>
      </c>
      <c r="E47" s="1" t="s">
        <v>44</v>
      </c>
      <c r="F47" s="1" t="s">
        <v>43</v>
      </c>
      <c r="G47" s="1">
        <v>1</v>
      </c>
      <c r="H47" s="1" t="s">
        <v>180</v>
      </c>
      <c r="I47" s="1" t="s">
        <v>42</v>
      </c>
      <c r="J47" s="4">
        <v>1.69</v>
      </c>
      <c r="K47">
        <f t="shared" si="0"/>
        <v>1.69</v>
      </c>
    </row>
    <row r="48" spans="1:11" x14ac:dyDescent="0.25">
      <c r="A48" s="1" t="s">
        <v>112</v>
      </c>
      <c r="B48" s="1" t="s">
        <v>98</v>
      </c>
      <c r="C48" s="1" t="s">
        <v>45</v>
      </c>
      <c r="D48" s="1" t="s">
        <v>53</v>
      </c>
      <c r="E48" s="1" t="s">
        <v>46</v>
      </c>
      <c r="F48" s="1" t="s">
        <v>134</v>
      </c>
      <c r="G48" s="1">
        <v>1</v>
      </c>
      <c r="H48" s="1" t="s">
        <v>181</v>
      </c>
      <c r="I48" s="1" t="s">
        <v>45</v>
      </c>
      <c r="J48" s="4">
        <v>3.8</v>
      </c>
      <c r="K48">
        <f t="shared" si="0"/>
        <v>3.8</v>
      </c>
    </row>
    <row r="49" spans="1:11" x14ac:dyDescent="0.25">
      <c r="A49" s="1" t="s">
        <v>113</v>
      </c>
      <c r="B49" s="1" t="s">
        <v>99</v>
      </c>
      <c r="C49" s="1" t="s">
        <v>47</v>
      </c>
      <c r="D49" s="1" t="s">
        <v>53</v>
      </c>
      <c r="E49" s="1" t="s">
        <v>48</v>
      </c>
      <c r="F49" s="1" t="s">
        <v>137</v>
      </c>
      <c r="G49" s="1">
        <v>2</v>
      </c>
      <c r="H49" s="1" t="s">
        <v>183</v>
      </c>
      <c r="I49" s="1" t="s">
        <v>182</v>
      </c>
      <c r="J49" s="4">
        <v>0.02</v>
      </c>
      <c r="K49">
        <f t="shared" si="0"/>
        <v>0.04</v>
      </c>
    </row>
    <row r="50" spans="1:11" x14ac:dyDescent="0.25">
      <c r="A50" s="1" t="s">
        <v>114</v>
      </c>
      <c r="B50" s="1" t="s">
        <v>100</v>
      </c>
      <c r="C50" s="1" t="s">
        <v>49</v>
      </c>
      <c r="D50" s="1" t="s">
        <v>53</v>
      </c>
      <c r="E50" s="1" t="s">
        <v>50</v>
      </c>
      <c r="F50" s="1" t="s">
        <v>135</v>
      </c>
      <c r="G50" s="1">
        <v>1</v>
      </c>
      <c r="H50" s="1" t="s">
        <v>184</v>
      </c>
      <c r="I50" s="1" t="s">
        <v>49</v>
      </c>
      <c r="J50" s="4">
        <v>0.5</v>
      </c>
      <c r="K50">
        <f t="shared" si="0"/>
        <v>0.5</v>
      </c>
    </row>
    <row r="51" spans="1:11" x14ac:dyDescent="0.25">
      <c r="A51" s="1" t="s">
        <v>115</v>
      </c>
      <c r="B51" s="1" t="s">
        <v>101</v>
      </c>
      <c r="C51" s="1" t="s">
        <v>51</v>
      </c>
      <c r="D51" s="1" t="s">
        <v>53</v>
      </c>
      <c r="E51" s="1"/>
      <c r="F51" s="1" t="s">
        <v>136</v>
      </c>
      <c r="G51" s="1">
        <v>1</v>
      </c>
      <c r="H51" s="1" t="s">
        <v>186</v>
      </c>
      <c r="I51" s="1" t="s">
        <v>185</v>
      </c>
      <c r="J51" s="4">
        <v>0.05</v>
      </c>
      <c r="K51">
        <f t="shared" si="0"/>
        <v>0.05</v>
      </c>
    </row>
    <row r="52" spans="1:11" x14ac:dyDescent="0.25">
      <c r="J52">
        <f>K52</f>
        <v>24.946000000000009</v>
      </c>
      <c r="K52">
        <f>SUM(K2:K51)</f>
        <v>24.946000000000009</v>
      </c>
    </row>
  </sheetData>
  <hyperlinks>
    <hyperlink ref="I40" r:id="rId1" tooltip="RC0805FR-070RL" display="https://www.lcsc.com/product-detail/C100045.html?s_z=n_0%2520ohm%25201%2525%25200805" xr:uid="{037DABF4-8A9B-4DAB-8963-4714042B74DB}"/>
    <hyperlink ref="I41" r:id="rId2" tooltip="RC0805JR-0710KL" display="https://www.lcsc.com/product-detail/C100047.html?s_z=n_10k%25205%2525%25200805" xr:uid="{40713C3E-872D-4C9F-8570-D92666A47C53}"/>
    <hyperlink ref="I42" r:id="rId3" tooltip="RC0805JR-071KL" display="https://www.lcsc.com/product-detail/C100046.html?s_z=n_1k%25205%2525%25200805" xr:uid="{57EC0147-7F5F-46A4-86F5-C3110B454CE4}"/>
    <hyperlink ref="I43" r:id="rId4" tooltip="RC0805FR-07100KL" display="https://www.lcsc.com/product-detail/C96346.html?s_z=n_100%25205%2525%25200805" xr:uid="{2849C1DF-EFE0-4156-9A6E-79ED995E019D}"/>
    <hyperlink ref="I44" r:id="rId5" tooltip="RC0805JR-0720KL" display="https://www.lcsc.com/product-detail/C114233.html?s_z=n_20k%25205%2525%25200805" xr:uid="{992812BB-2687-4724-B415-3501A5FA4F69}"/>
    <hyperlink ref="I45" r:id="rId6" tooltip="RC0805FR-073K3L" display="https://www.lcsc.com/product-detail/C114531.html?s_z=n_3.3k%25201%2525%25200805" xr:uid="{1EA18724-9418-4CF3-8937-19977A6F5425}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 SETIAWAN</dc:creator>
  <cp:lastModifiedBy>Agus Setiawan</cp:lastModifiedBy>
  <cp:lastPrinted>2026-04-07T09:08:48Z</cp:lastPrinted>
  <dcterms:created xsi:type="dcterms:W3CDTF">2026-04-05T09:22:41Z</dcterms:created>
  <dcterms:modified xsi:type="dcterms:W3CDTF">2026-04-07T09:09:15Z</dcterms:modified>
</cp:coreProperties>
</file>